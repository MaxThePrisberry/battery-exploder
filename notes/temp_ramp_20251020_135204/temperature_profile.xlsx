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CV166\Documents\LabWindowsCVI\BatteryApplication\battery-exploder\data\temp_ramp_20251020_135204\"/>
    </mc:Choice>
  </mc:AlternateContent>
  <bookViews>
    <workbookView xWindow="0" yWindow="0" windowWidth="17256" windowHeight="5844"/>
  </bookViews>
  <sheets>
    <sheet name="temperature_profile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9" i="1" l="1"/>
  <c r="H17" i="1" s="1"/>
  <c r="G10" i="1"/>
  <c r="H18" i="1" s="1"/>
  <c r="G11" i="1"/>
  <c r="G12" i="1"/>
  <c r="G13" i="1"/>
  <c r="H21" i="1" s="1"/>
  <c r="G14" i="1"/>
  <c r="H22" i="1" s="1"/>
  <c r="G15" i="1"/>
  <c r="G16" i="1"/>
  <c r="G17" i="1"/>
  <c r="H25" i="1" s="1"/>
  <c r="G18" i="1"/>
  <c r="G37" i="1"/>
  <c r="H45" i="1" s="1"/>
  <c r="G38" i="1"/>
  <c r="H46" i="1" s="1"/>
  <c r="G39" i="1"/>
  <c r="H47" i="1" s="1"/>
  <c r="G40" i="1"/>
  <c r="H48" i="1" s="1"/>
  <c r="G41" i="1"/>
  <c r="G42" i="1"/>
  <c r="G43" i="1"/>
  <c r="G44" i="1"/>
  <c r="G45" i="1"/>
  <c r="G46" i="1"/>
  <c r="G65" i="1"/>
  <c r="H73" i="1" s="1"/>
  <c r="G66" i="1"/>
  <c r="H74" i="1" s="1"/>
  <c r="G67" i="1"/>
  <c r="H75" i="1" s="1"/>
  <c r="G68" i="1"/>
  <c r="H76" i="1" s="1"/>
  <c r="G69" i="1"/>
  <c r="H77" i="1" s="1"/>
  <c r="G70" i="1"/>
  <c r="H78" i="1" s="1"/>
  <c r="G71" i="1"/>
  <c r="H79" i="1" s="1"/>
  <c r="G72" i="1"/>
  <c r="H80" i="1" s="1"/>
  <c r="G73" i="1"/>
  <c r="G74" i="1"/>
  <c r="D39" i="1"/>
  <c r="D40" i="1"/>
  <c r="D41" i="1"/>
  <c r="D42" i="1"/>
  <c r="D43" i="1"/>
  <c r="D44" i="1"/>
  <c r="D45" i="1"/>
  <c r="D47" i="1"/>
  <c r="D67" i="1"/>
  <c r="D68" i="1"/>
  <c r="D69" i="1"/>
  <c r="D27" i="1"/>
  <c r="B3" i="1"/>
  <c r="G3" i="1" s="1"/>
  <c r="B4" i="1"/>
  <c r="G4" i="1" s="1"/>
  <c r="B5" i="1"/>
  <c r="G5" i="1" s="1"/>
  <c r="B6" i="1"/>
  <c r="G6" i="1" s="1"/>
  <c r="B7" i="1"/>
  <c r="G7" i="1" s="1"/>
  <c r="B8" i="1"/>
  <c r="B9" i="1"/>
  <c r="B10" i="1"/>
  <c r="B11" i="1"/>
  <c r="B12" i="1"/>
  <c r="B13" i="1"/>
  <c r="B14" i="1"/>
  <c r="B15" i="1"/>
  <c r="B16" i="1"/>
  <c r="B17" i="1"/>
  <c r="B18" i="1"/>
  <c r="B19" i="1"/>
  <c r="G19" i="1" s="1"/>
  <c r="B20" i="1"/>
  <c r="G20" i="1" s="1"/>
  <c r="B21" i="1"/>
  <c r="G21" i="1" s="1"/>
  <c r="B22" i="1"/>
  <c r="G22" i="1" s="1"/>
  <c r="B23" i="1"/>
  <c r="G23" i="1" s="1"/>
  <c r="B24" i="1"/>
  <c r="G24" i="1" s="1"/>
  <c r="B25" i="1"/>
  <c r="G25" i="1" s="1"/>
  <c r="B26" i="1"/>
  <c r="D48" i="1" s="1"/>
  <c r="B27" i="1"/>
  <c r="G27" i="1" s="1"/>
  <c r="B28" i="1"/>
  <c r="G28" i="1" s="1"/>
  <c r="B29" i="1"/>
  <c r="G29" i="1" s="1"/>
  <c r="B30" i="1"/>
  <c r="D30" i="1" s="1"/>
  <c r="B31" i="1"/>
  <c r="D31" i="1" s="1"/>
  <c r="B32" i="1"/>
  <c r="G32" i="1" s="1"/>
  <c r="B33" i="1"/>
  <c r="G33" i="1" s="1"/>
  <c r="B34" i="1"/>
  <c r="G34" i="1" s="1"/>
  <c r="B35" i="1"/>
  <c r="G36" i="1" s="1"/>
  <c r="H44" i="1" s="1"/>
  <c r="B36" i="1"/>
  <c r="B37" i="1"/>
  <c r="B38" i="1"/>
  <c r="B39" i="1"/>
  <c r="B40" i="1"/>
  <c r="B41" i="1"/>
  <c r="B42" i="1"/>
  <c r="B43" i="1"/>
  <c r="B44" i="1"/>
  <c r="B45" i="1"/>
  <c r="B46" i="1"/>
  <c r="B47" i="1"/>
  <c r="G47" i="1" s="1"/>
  <c r="B48" i="1"/>
  <c r="G48" i="1" s="1"/>
  <c r="B49" i="1"/>
  <c r="D49" i="1" s="1"/>
  <c r="B50" i="1"/>
  <c r="D50" i="1" s="1"/>
  <c r="B51" i="1"/>
  <c r="D51" i="1" s="1"/>
  <c r="B52" i="1"/>
  <c r="D52" i="1" s="1"/>
  <c r="B53" i="1"/>
  <c r="G53" i="1" s="1"/>
  <c r="B54" i="1"/>
  <c r="D54" i="1" s="1"/>
  <c r="B55" i="1"/>
  <c r="D55" i="1" s="1"/>
  <c r="B56" i="1"/>
  <c r="D56" i="1" s="1"/>
  <c r="B57" i="1"/>
  <c r="G57" i="1" s="1"/>
  <c r="B58" i="1"/>
  <c r="D58" i="1" s="1"/>
  <c r="B59" i="1"/>
  <c r="D59" i="1" s="1"/>
  <c r="B60" i="1"/>
  <c r="G60" i="1" s="1"/>
  <c r="B61" i="1"/>
  <c r="G61" i="1" s="1"/>
  <c r="B62" i="1"/>
  <c r="G62" i="1" s="1"/>
  <c r="B63" i="1"/>
  <c r="G63" i="1" s="1"/>
  <c r="B64" i="1"/>
  <c r="B65" i="1"/>
  <c r="B66" i="1"/>
  <c r="B67" i="1"/>
  <c r="B68" i="1"/>
  <c r="B69" i="1"/>
  <c r="B70" i="1"/>
  <c r="B71" i="1"/>
  <c r="B72" i="1"/>
  <c r="B73" i="1"/>
  <c r="B74" i="1"/>
  <c r="B75" i="1"/>
  <c r="G75" i="1" s="1"/>
  <c r="B76" i="1"/>
  <c r="G76" i="1" s="1"/>
  <c r="B77" i="1"/>
  <c r="G77" i="1" s="1"/>
  <c r="B78" i="1"/>
  <c r="G78" i="1" s="1"/>
  <c r="B79" i="1"/>
  <c r="G79" i="1" s="1"/>
  <c r="B80" i="1"/>
  <c r="G80" i="1" s="1"/>
  <c r="B2" i="1"/>
  <c r="H24" i="1" l="1"/>
  <c r="H49" i="1"/>
  <c r="H42" i="1"/>
  <c r="H41" i="1"/>
  <c r="H68" i="1"/>
  <c r="H65" i="1"/>
  <c r="H36" i="1"/>
  <c r="H35" i="1"/>
  <c r="H61" i="1"/>
  <c r="H32" i="1"/>
  <c r="H23" i="1"/>
  <c r="H20" i="1"/>
  <c r="H19" i="1"/>
  <c r="D46" i="1"/>
  <c r="D38" i="1"/>
  <c r="D65" i="1"/>
  <c r="G35" i="1"/>
  <c r="H43" i="1" s="1"/>
  <c r="D35" i="1"/>
  <c r="D34" i="1"/>
  <c r="G59" i="1"/>
  <c r="H67" i="1" s="1"/>
  <c r="D60" i="1"/>
  <c r="G30" i="1"/>
  <c r="H38" i="1" s="1"/>
  <c r="D57" i="1"/>
  <c r="D28" i="1"/>
  <c r="G52" i="1"/>
  <c r="H60" i="1" s="1"/>
  <c r="D53" i="1"/>
  <c r="G51" i="1"/>
  <c r="H59" i="1" s="1"/>
  <c r="G50" i="1"/>
  <c r="H58" i="1" s="1"/>
  <c r="D66" i="1"/>
  <c r="G8" i="1"/>
  <c r="H16" i="1" s="1"/>
  <c r="D37" i="1"/>
  <c r="D36" i="1"/>
  <c r="D33" i="1"/>
  <c r="G31" i="1"/>
  <c r="D32" i="1"/>
  <c r="G58" i="1"/>
  <c r="G56" i="1"/>
  <c r="D29" i="1"/>
  <c r="G55" i="1"/>
  <c r="G54" i="1"/>
  <c r="G49" i="1"/>
  <c r="G64" i="1"/>
  <c r="H72" i="1" s="1"/>
  <c r="D64" i="1"/>
  <c r="D63" i="1"/>
  <c r="D62" i="1"/>
  <c r="D61" i="1"/>
  <c r="G26" i="1"/>
  <c r="H50" i="1" l="1"/>
  <c r="H31" i="1"/>
  <c r="H34" i="1"/>
  <c r="H52" i="1"/>
  <c r="H70" i="1"/>
  <c r="H57" i="1"/>
  <c r="H27" i="1"/>
  <c r="H71" i="1"/>
  <c r="H55" i="1"/>
  <c r="H14" i="1"/>
  <c r="H13" i="1"/>
  <c r="H62" i="1"/>
  <c r="H26" i="1"/>
  <c r="H11" i="1"/>
  <c r="H54" i="1"/>
  <c r="H40" i="1"/>
  <c r="H66" i="1"/>
  <c r="H69" i="1"/>
  <c r="H28" i="1"/>
  <c r="H39" i="1"/>
  <c r="H29" i="1"/>
  <c r="H53" i="1"/>
  <c r="H15" i="1"/>
  <c r="H37" i="1"/>
  <c r="H12" i="1"/>
  <c r="H56" i="1"/>
  <c r="H63" i="1"/>
  <c r="H33" i="1"/>
  <c r="H64" i="1"/>
  <c r="H30" i="1"/>
  <c r="H51" i="1"/>
</calcChain>
</file>

<file path=xl/sharedStrings.xml><?xml version="1.0" encoding="utf-8"?>
<sst xmlns="http://purl.oclc.org/ooxml/spreadsheetml/main" count="5" uniqueCount="5">
  <si>
    <t>Time_s</t>
  </si>
  <si>
    <t>DTB_Avg_C</t>
  </si>
  <si>
    <t>DTB_Setpoint_Reg_C</t>
  </si>
  <si>
    <t>TC0_C</t>
  </si>
  <si>
    <t>TC1_C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</si>
</sst>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temperature_profile!$B$2:$B$80</c:f>
              <c:numCache>
                <c:formatCode>General</c:formatCode>
                <c:ptCount val="79"/>
                <c:pt idx="0">
                  <c:v>0.33554999999999996</c:v>
                </c:pt>
                <c:pt idx="1">
                  <c:v>0.66675000000000006</c:v>
                </c:pt>
                <c:pt idx="2">
                  <c:v>0.99804999999999999</c:v>
                </c:pt>
                <c:pt idx="3">
                  <c:v>1.1802166666666667</c:v>
                </c:pt>
                <c:pt idx="4">
                  <c:v>1.5285</c:v>
                </c:pt>
                <c:pt idx="5">
                  <c:v>1.7105166666666667</c:v>
                </c:pt>
                <c:pt idx="6">
                  <c:v>1.8929</c:v>
                </c:pt>
                <c:pt idx="7">
                  <c:v>2.0751499999999998</c:v>
                </c:pt>
                <c:pt idx="8">
                  <c:v>2.4063500000000002</c:v>
                </c:pt>
                <c:pt idx="9">
                  <c:v>2.7377166666666666</c:v>
                </c:pt>
                <c:pt idx="10">
                  <c:v>3.0689833333333336</c:v>
                </c:pt>
                <c:pt idx="11">
                  <c:v>3.5658666666666665</c:v>
                </c:pt>
                <c:pt idx="12">
                  <c:v>3.7506166666666667</c:v>
                </c:pt>
                <c:pt idx="13">
                  <c:v>3.9327333333333332</c:v>
                </c:pt>
                <c:pt idx="14">
                  <c:v>4.1153500000000003</c:v>
                </c:pt>
                <c:pt idx="15">
                  <c:v>4.2974833333333331</c:v>
                </c:pt>
                <c:pt idx="16">
                  <c:v>4.7583166666666674</c:v>
                </c:pt>
                <c:pt idx="17">
                  <c:v>4.9912333333333327</c:v>
                </c:pt>
                <c:pt idx="18">
                  <c:v>5.2235666666666667</c:v>
                </c:pt>
                <c:pt idx="19">
                  <c:v>5.4556500000000003</c:v>
                </c:pt>
                <c:pt idx="20">
                  <c:v>5.6875</c:v>
                </c:pt>
                <c:pt idx="21">
                  <c:v>5.9196333333333335</c:v>
                </c:pt>
                <c:pt idx="22">
                  <c:v>6.1520000000000001</c:v>
                </c:pt>
                <c:pt idx="23">
                  <c:v>6.3836833333333338</c:v>
                </c:pt>
                <c:pt idx="24">
                  <c:v>6.6157999999999992</c:v>
                </c:pt>
                <c:pt idx="25">
                  <c:v>6.8478833333333329</c:v>
                </c:pt>
                <c:pt idx="26">
                  <c:v>7.0803833333333328</c:v>
                </c:pt>
                <c:pt idx="27">
                  <c:v>7.2611833333333333</c:v>
                </c:pt>
                <c:pt idx="28">
                  <c:v>7.4435500000000001</c:v>
                </c:pt>
                <c:pt idx="29">
                  <c:v>7.6257666666666664</c:v>
                </c:pt>
                <c:pt idx="30">
                  <c:v>7.8076499999999998</c:v>
                </c:pt>
                <c:pt idx="31">
                  <c:v>7.9900166666666665</c:v>
                </c:pt>
                <c:pt idx="32">
                  <c:v>8.1722999999999999</c:v>
                </c:pt>
                <c:pt idx="33">
                  <c:v>8.3543333333333329</c:v>
                </c:pt>
                <c:pt idx="34">
                  <c:v>8.5372166666666658</c:v>
                </c:pt>
                <c:pt idx="35">
                  <c:v>8.7195</c:v>
                </c:pt>
                <c:pt idx="36">
                  <c:v>9.1830499999999997</c:v>
                </c:pt>
                <c:pt idx="37">
                  <c:v>9.4164000000000012</c:v>
                </c:pt>
                <c:pt idx="38">
                  <c:v>9.6484500000000004</c:v>
                </c:pt>
                <c:pt idx="39">
                  <c:v>9.8804333333333343</c:v>
                </c:pt>
                <c:pt idx="40">
                  <c:v>10.112550000000001</c:v>
                </c:pt>
                <c:pt idx="41">
                  <c:v>10.344716666666667</c:v>
                </c:pt>
                <c:pt idx="42">
                  <c:v>10.576699999999999</c:v>
                </c:pt>
                <c:pt idx="43">
                  <c:v>10.8088</c:v>
                </c:pt>
                <c:pt idx="44">
                  <c:v>11.040850000000001</c:v>
                </c:pt>
                <c:pt idx="45">
                  <c:v>11.2729</c:v>
                </c:pt>
                <c:pt idx="46">
                  <c:v>11.522883333333334</c:v>
                </c:pt>
                <c:pt idx="47">
                  <c:v>11.702833333333333</c:v>
                </c:pt>
                <c:pt idx="48">
                  <c:v>11.885083333333334</c:v>
                </c:pt>
                <c:pt idx="49">
                  <c:v>12.066966666666668</c:v>
                </c:pt>
                <c:pt idx="50">
                  <c:v>12.249383333333332</c:v>
                </c:pt>
                <c:pt idx="51">
                  <c:v>12.432033333333333</c:v>
                </c:pt>
                <c:pt idx="52">
                  <c:v>12.614216666666666</c:v>
                </c:pt>
                <c:pt idx="53">
                  <c:v>12.7965</c:v>
                </c:pt>
                <c:pt idx="54">
                  <c:v>13.260416666666666</c:v>
                </c:pt>
                <c:pt idx="55">
                  <c:v>13.4933</c:v>
                </c:pt>
                <c:pt idx="56">
                  <c:v>13.725283333333334</c:v>
                </c:pt>
                <c:pt idx="57">
                  <c:v>13.957433333333334</c:v>
                </c:pt>
                <c:pt idx="58">
                  <c:v>14.189500000000001</c:v>
                </c:pt>
                <c:pt idx="59">
                  <c:v>14.421716666666667</c:v>
                </c:pt>
                <c:pt idx="60">
                  <c:v>14.653799999999999</c:v>
                </c:pt>
                <c:pt idx="61">
                  <c:v>14.885666666666667</c:v>
                </c:pt>
                <c:pt idx="62">
                  <c:v>15.117850000000001</c:v>
                </c:pt>
                <c:pt idx="63">
                  <c:v>15.350016666666667</c:v>
                </c:pt>
                <c:pt idx="64">
                  <c:v>15.7464</c:v>
                </c:pt>
                <c:pt idx="65">
                  <c:v>15.979700000000001</c:v>
                </c:pt>
                <c:pt idx="66">
                  <c:v>16.211883333333333</c:v>
                </c:pt>
                <c:pt idx="67">
                  <c:v>16.443916666666667</c:v>
                </c:pt>
                <c:pt idx="68">
                  <c:v>16.676083333333334</c:v>
                </c:pt>
                <c:pt idx="69">
                  <c:v>16.908116666666665</c:v>
                </c:pt>
                <c:pt idx="70">
                  <c:v>17.1402</c:v>
                </c:pt>
                <c:pt idx="71">
                  <c:v>17.372116666666667</c:v>
                </c:pt>
                <c:pt idx="72">
                  <c:v>17.604316666666666</c:v>
                </c:pt>
                <c:pt idx="73">
                  <c:v>17.836449999999999</c:v>
                </c:pt>
                <c:pt idx="74">
                  <c:v>18.271016666666664</c:v>
                </c:pt>
                <c:pt idx="75">
                  <c:v>18.452466666666666</c:v>
                </c:pt>
                <c:pt idx="76">
                  <c:v>18.634550000000001</c:v>
                </c:pt>
                <c:pt idx="77">
                  <c:v>18.816916666666668</c:v>
                </c:pt>
                <c:pt idx="78">
                  <c:v>18.998933333333333</c:v>
                </c:pt>
              </c:numCache>
            </c:numRef>
          </c:xVal>
          <c:yVal>
            <c:numRef>
              <c:f>temperature_profile!$C$2:$C$80</c:f>
              <c:numCache>
                <c:formatCode>General</c:formatCode>
                <c:ptCount val="79"/>
                <c:pt idx="0">
                  <c:v>18.899999999999999</c:v>
                </c:pt>
                <c:pt idx="1">
                  <c:v>19.5</c:v>
                </c:pt>
                <c:pt idx="2">
                  <c:v>20.55</c:v>
                </c:pt>
                <c:pt idx="3">
                  <c:v>21.15</c:v>
                </c:pt>
                <c:pt idx="4">
                  <c:v>22.15</c:v>
                </c:pt>
                <c:pt idx="5">
                  <c:v>22.55</c:v>
                </c:pt>
                <c:pt idx="6">
                  <c:v>22.8</c:v>
                </c:pt>
                <c:pt idx="7">
                  <c:v>23.05</c:v>
                </c:pt>
                <c:pt idx="8">
                  <c:v>23.4</c:v>
                </c:pt>
                <c:pt idx="9">
                  <c:v>23.65</c:v>
                </c:pt>
                <c:pt idx="10">
                  <c:v>23.9</c:v>
                </c:pt>
                <c:pt idx="11">
                  <c:v>24.15</c:v>
                </c:pt>
                <c:pt idx="12">
                  <c:v>24.15</c:v>
                </c:pt>
                <c:pt idx="13">
                  <c:v>24.2</c:v>
                </c:pt>
                <c:pt idx="14">
                  <c:v>24.2</c:v>
                </c:pt>
                <c:pt idx="15">
                  <c:v>24.2</c:v>
                </c:pt>
                <c:pt idx="16">
                  <c:v>24.25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</c:v>
                </c:pt>
                <c:pt idx="22">
                  <c:v>24.25</c:v>
                </c:pt>
                <c:pt idx="23">
                  <c:v>24.25</c:v>
                </c:pt>
                <c:pt idx="24">
                  <c:v>24.3</c:v>
                </c:pt>
                <c:pt idx="25">
                  <c:v>24.45</c:v>
                </c:pt>
                <c:pt idx="26">
                  <c:v>24.6</c:v>
                </c:pt>
                <c:pt idx="27">
                  <c:v>24.85</c:v>
                </c:pt>
                <c:pt idx="28">
                  <c:v>25.15</c:v>
                </c:pt>
                <c:pt idx="29">
                  <c:v>25.45</c:v>
                </c:pt>
                <c:pt idx="30">
                  <c:v>25.7</c:v>
                </c:pt>
                <c:pt idx="31">
                  <c:v>26</c:v>
                </c:pt>
                <c:pt idx="32">
                  <c:v>26.4</c:v>
                </c:pt>
                <c:pt idx="33">
                  <c:v>26.75</c:v>
                </c:pt>
                <c:pt idx="34">
                  <c:v>27</c:v>
                </c:pt>
                <c:pt idx="35">
                  <c:v>27.3</c:v>
                </c:pt>
                <c:pt idx="36">
                  <c:v>28.1</c:v>
                </c:pt>
                <c:pt idx="37">
                  <c:v>28.45</c:v>
                </c:pt>
                <c:pt idx="38">
                  <c:v>28.8</c:v>
                </c:pt>
                <c:pt idx="39">
                  <c:v>29.15</c:v>
                </c:pt>
                <c:pt idx="40">
                  <c:v>29.5</c:v>
                </c:pt>
                <c:pt idx="41">
                  <c:v>29.8</c:v>
                </c:pt>
                <c:pt idx="42">
                  <c:v>30.35</c:v>
                </c:pt>
                <c:pt idx="43">
                  <c:v>30.9</c:v>
                </c:pt>
                <c:pt idx="44">
                  <c:v>31.15</c:v>
                </c:pt>
                <c:pt idx="45">
                  <c:v>31.55</c:v>
                </c:pt>
                <c:pt idx="46">
                  <c:v>32</c:v>
                </c:pt>
                <c:pt idx="47">
                  <c:v>32.299999999999997</c:v>
                </c:pt>
                <c:pt idx="48">
                  <c:v>32.700000000000003</c:v>
                </c:pt>
                <c:pt idx="49">
                  <c:v>33</c:v>
                </c:pt>
                <c:pt idx="50">
                  <c:v>33.25</c:v>
                </c:pt>
                <c:pt idx="51">
                  <c:v>33.549999999999997</c:v>
                </c:pt>
                <c:pt idx="52">
                  <c:v>33.950000000000003</c:v>
                </c:pt>
                <c:pt idx="53">
                  <c:v>34.35</c:v>
                </c:pt>
                <c:pt idx="54">
                  <c:v>35.1</c:v>
                </c:pt>
                <c:pt idx="55">
                  <c:v>35.549999999999997</c:v>
                </c:pt>
                <c:pt idx="56">
                  <c:v>36.049999999999997</c:v>
                </c:pt>
                <c:pt idx="57">
                  <c:v>36.35</c:v>
                </c:pt>
                <c:pt idx="58">
                  <c:v>36.85</c:v>
                </c:pt>
                <c:pt idx="59">
                  <c:v>37.25</c:v>
                </c:pt>
                <c:pt idx="60">
                  <c:v>37.6</c:v>
                </c:pt>
                <c:pt idx="61">
                  <c:v>37.9</c:v>
                </c:pt>
                <c:pt idx="62">
                  <c:v>38.35</c:v>
                </c:pt>
                <c:pt idx="63">
                  <c:v>38.9</c:v>
                </c:pt>
                <c:pt idx="64">
                  <c:v>39.75</c:v>
                </c:pt>
                <c:pt idx="65">
                  <c:v>40</c:v>
                </c:pt>
                <c:pt idx="66">
                  <c:v>40.15</c:v>
                </c:pt>
                <c:pt idx="67">
                  <c:v>40.450000000000003</c:v>
                </c:pt>
                <c:pt idx="68">
                  <c:v>40.950000000000003</c:v>
                </c:pt>
                <c:pt idx="69">
                  <c:v>41.15</c:v>
                </c:pt>
                <c:pt idx="70">
                  <c:v>41.4</c:v>
                </c:pt>
                <c:pt idx="71">
                  <c:v>41.5</c:v>
                </c:pt>
                <c:pt idx="72">
                  <c:v>41.55</c:v>
                </c:pt>
                <c:pt idx="73">
                  <c:v>41.7</c:v>
                </c:pt>
                <c:pt idx="74">
                  <c:v>42.05</c:v>
                </c:pt>
                <c:pt idx="75">
                  <c:v>42.25</c:v>
                </c:pt>
                <c:pt idx="76">
                  <c:v>42.3</c:v>
                </c:pt>
                <c:pt idx="77">
                  <c:v>42.55</c:v>
                </c:pt>
                <c:pt idx="78">
                  <c:v>42.6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B-433C-92B8-251D77AAE6C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temperature_profile!$B$2:$B$80</c:f>
              <c:numCache>
                <c:formatCode>General</c:formatCode>
                <c:ptCount val="79"/>
                <c:pt idx="0">
                  <c:v>0.33554999999999996</c:v>
                </c:pt>
                <c:pt idx="1">
                  <c:v>0.66675000000000006</c:v>
                </c:pt>
                <c:pt idx="2">
                  <c:v>0.99804999999999999</c:v>
                </c:pt>
                <c:pt idx="3">
                  <c:v>1.1802166666666667</c:v>
                </c:pt>
                <c:pt idx="4">
                  <c:v>1.5285</c:v>
                </c:pt>
                <c:pt idx="5">
                  <c:v>1.7105166666666667</c:v>
                </c:pt>
                <c:pt idx="6">
                  <c:v>1.8929</c:v>
                </c:pt>
                <c:pt idx="7">
                  <c:v>2.0751499999999998</c:v>
                </c:pt>
                <c:pt idx="8">
                  <c:v>2.4063500000000002</c:v>
                </c:pt>
                <c:pt idx="9">
                  <c:v>2.7377166666666666</c:v>
                </c:pt>
                <c:pt idx="10">
                  <c:v>3.0689833333333336</c:v>
                </c:pt>
                <c:pt idx="11">
                  <c:v>3.5658666666666665</c:v>
                </c:pt>
                <c:pt idx="12">
                  <c:v>3.7506166666666667</c:v>
                </c:pt>
                <c:pt idx="13">
                  <c:v>3.9327333333333332</c:v>
                </c:pt>
                <c:pt idx="14">
                  <c:v>4.1153500000000003</c:v>
                </c:pt>
                <c:pt idx="15">
                  <c:v>4.2974833333333331</c:v>
                </c:pt>
                <c:pt idx="16">
                  <c:v>4.7583166666666674</c:v>
                </c:pt>
                <c:pt idx="17">
                  <c:v>4.9912333333333327</c:v>
                </c:pt>
                <c:pt idx="18">
                  <c:v>5.2235666666666667</c:v>
                </c:pt>
                <c:pt idx="19">
                  <c:v>5.4556500000000003</c:v>
                </c:pt>
                <c:pt idx="20">
                  <c:v>5.6875</c:v>
                </c:pt>
                <c:pt idx="21">
                  <c:v>5.9196333333333335</c:v>
                </c:pt>
                <c:pt idx="22">
                  <c:v>6.1520000000000001</c:v>
                </c:pt>
                <c:pt idx="23">
                  <c:v>6.3836833333333338</c:v>
                </c:pt>
                <c:pt idx="24">
                  <c:v>6.6157999999999992</c:v>
                </c:pt>
                <c:pt idx="25">
                  <c:v>6.8478833333333329</c:v>
                </c:pt>
                <c:pt idx="26">
                  <c:v>7.0803833333333328</c:v>
                </c:pt>
                <c:pt idx="27">
                  <c:v>7.2611833333333333</c:v>
                </c:pt>
                <c:pt idx="28">
                  <c:v>7.4435500000000001</c:v>
                </c:pt>
                <c:pt idx="29">
                  <c:v>7.6257666666666664</c:v>
                </c:pt>
                <c:pt idx="30">
                  <c:v>7.8076499999999998</c:v>
                </c:pt>
                <c:pt idx="31">
                  <c:v>7.9900166666666665</c:v>
                </c:pt>
                <c:pt idx="32">
                  <c:v>8.1722999999999999</c:v>
                </c:pt>
                <c:pt idx="33">
                  <c:v>8.3543333333333329</c:v>
                </c:pt>
                <c:pt idx="34">
                  <c:v>8.5372166666666658</c:v>
                </c:pt>
                <c:pt idx="35">
                  <c:v>8.7195</c:v>
                </c:pt>
                <c:pt idx="36">
                  <c:v>9.1830499999999997</c:v>
                </c:pt>
                <c:pt idx="37">
                  <c:v>9.4164000000000012</c:v>
                </c:pt>
                <c:pt idx="38">
                  <c:v>9.6484500000000004</c:v>
                </c:pt>
                <c:pt idx="39">
                  <c:v>9.8804333333333343</c:v>
                </c:pt>
                <c:pt idx="40">
                  <c:v>10.112550000000001</c:v>
                </c:pt>
                <c:pt idx="41">
                  <c:v>10.344716666666667</c:v>
                </c:pt>
                <c:pt idx="42">
                  <c:v>10.576699999999999</c:v>
                </c:pt>
                <c:pt idx="43">
                  <c:v>10.8088</c:v>
                </c:pt>
                <c:pt idx="44">
                  <c:v>11.040850000000001</c:v>
                </c:pt>
                <c:pt idx="45">
                  <c:v>11.2729</c:v>
                </c:pt>
                <c:pt idx="46">
                  <c:v>11.522883333333334</c:v>
                </c:pt>
                <c:pt idx="47">
                  <c:v>11.702833333333333</c:v>
                </c:pt>
                <c:pt idx="48">
                  <c:v>11.885083333333334</c:v>
                </c:pt>
                <c:pt idx="49">
                  <c:v>12.066966666666668</c:v>
                </c:pt>
                <c:pt idx="50">
                  <c:v>12.249383333333332</c:v>
                </c:pt>
                <c:pt idx="51">
                  <c:v>12.432033333333333</c:v>
                </c:pt>
                <c:pt idx="52">
                  <c:v>12.614216666666666</c:v>
                </c:pt>
                <c:pt idx="53">
                  <c:v>12.7965</c:v>
                </c:pt>
                <c:pt idx="54">
                  <c:v>13.260416666666666</c:v>
                </c:pt>
                <c:pt idx="55">
                  <c:v>13.4933</c:v>
                </c:pt>
                <c:pt idx="56">
                  <c:v>13.725283333333334</c:v>
                </c:pt>
                <c:pt idx="57">
                  <c:v>13.957433333333334</c:v>
                </c:pt>
                <c:pt idx="58">
                  <c:v>14.189500000000001</c:v>
                </c:pt>
                <c:pt idx="59">
                  <c:v>14.421716666666667</c:v>
                </c:pt>
                <c:pt idx="60">
                  <c:v>14.653799999999999</c:v>
                </c:pt>
                <c:pt idx="61">
                  <c:v>14.885666666666667</c:v>
                </c:pt>
                <c:pt idx="62">
                  <c:v>15.117850000000001</c:v>
                </c:pt>
                <c:pt idx="63">
                  <c:v>15.350016666666667</c:v>
                </c:pt>
                <c:pt idx="64">
                  <c:v>15.7464</c:v>
                </c:pt>
                <c:pt idx="65">
                  <c:v>15.979700000000001</c:v>
                </c:pt>
                <c:pt idx="66">
                  <c:v>16.211883333333333</c:v>
                </c:pt>
                <c:pt idx="67">
                  <c:v>16.443916666666667</c:v>
                </c:pt>
                <c:pt idx="68">
                  <c:v>16.676083333333334</c:v>
                </c:pt>
                <c:pt idx="69">
                  <c:v>16.908116666666665</c:v>
                </c:pt>
                <c:pt idx="70">
                  <c:v>17.1402</c:v>
                </c:pt>
                <c:pt idx="71">
                  <c:v>17.372116666666667</c:v>
                </c:pt>
                <c:pt idx="72">
                  <c:v>17.604316666666666</c:v>
                </c:pt>
                <c:pt idx="73">
                  <c:v>17.836449999999999</c:v>
                </c:pt>
                <c:pt idx="74">
                  <c:v>18.271016666666664</c:v>
                </c:pt>
                <c:pt idx="75">
                  <c:v>18.452466666666666</c:v>
                </c:pt>
                <c:pt idx="76">
                  <c:v>18.634550000000001</c:v>
                </c:pt>
                <c:pt idx="77">
                  <c:v>18.816916666666668</c:v>
                </c:pt>
                <c:pt idx="78">
                  <c:v>18.998933333333333</c:v>
                </c:pt>
              </c:numCache>
            </c:numRef>
          </c:xVal>
          <c:yVal>
            <c:numRef>
              <c:f>temperature_profile!$D$2:$D$80</c:f>
              <c:numCache>
                <c:formatCode>General</c:formatCode>
                <c:ptCount val="7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25.464166666666667</c:v>
                </c:pt>
                <c:pt idx="26">
                  <c:v>25.929166666666667</c:v>
                </c:pt>
                <c:pt idx="27">
                  <c:v>26.29076666666667</c:v>
                </c:pt>
                <c:pt idx="28">
                  <c:v>26.655500000000004</c:v>
                </c:pt>
                <c:pt idx="29">
                  <c:v>27.019933333333334</c:v>
                </c:pt>
                <c:pt idx="30">
                  <c:v>27.383700000000001</c:v>
                </c:pt>
                <c:pt idx="31">
                  <c:v>27.748433333333335</c:v>
                </c:pt>
                <c:pt idx="32">
                  <c:v>28.113</c:v>
                </c:pt>
                <c:pt idx="33">
                  <c:v>28.477066666666666</c:v>
                </c:pt>
                <c:pt idx="34">
                  <c:v>28.842833333333331</c:v>
                </c:pt>
                <c:pt idx="35">
                  <c:v>29.2074</c:v>
                </c:pt>
                <c:pt idx="36">
                  <c:v>30.134500000000003</c:v>
                </c:pt>
                <c:pt idx="37">
                  <c:v>30.601200000000006</c:v>
                </c:pt>
                <c:pt idx="38">
                  <c:v>31.065300000000001</c:v>
                </c:pt>
                <c:pt idx="39">
                  <c:v>31.529266666666672</c:v>
                </c:pt>
                <c:pt idx="40">
                  <c:v>31.993500000000004</c:v>
                </c:pt>
                <c:pt idx="41">
                  <c:v>32.457833333333333</c:v>
                </c:pt>
                <c:pt idx="42">
                  <c:v>32.921799999999998</c:v>
                </c:pt>
                <c:pt idx="43">
                  <c:v>33.386000000000003</c:v>
                </c:pt>
                <c:pt idx="44">
                  <c:v>33.850100000000005</c:v>
                </c:pt>
                <c:pt idx="45">
                  <c:v>34.3142</c:v>
                </c:pt>
                <c:pt idx="46">
                  <c:v>34.814166666666672</c:v>
                </c:pt>
                <c:pt idx="47">
                  <c:v>35.174066666666668</c:v>
                </c:pt>
                <c:pt idx="48">
                  <c:v>35.538566666666668</c:v>
                </c:pt>
                <c:pt idx="49">
                  <c:v>35.902333333333338</c:v>
                </c:pt>
                <c:pt idx="50">
                  <c:v>36.267166666666668</c:v>
                </c:pt>
                <c:pt idx="51">
                  <c:v>36.632466666666666</c:v>
                </c:pt>
                <c:pt idx="52">
                  <c:v>36.996833333333335</c:v>
                </c:pt>
                <c:pt idx="53">
                  <c:v>37.361400000000003</c:v>
                </c:pt>
                <c:pt idx="54">
                  <c:v>38.289233333333335</c:v>
                </c:pt>
                <c:pt idx="55">
                  <c:v>38.755000000000003</c:v>
                </c:pt>
                <c:pt idx="56">
                  <c:v>39.218966666666667</c:v>
                </c:pt>
                <c:pt idx="57">
                  <c:v>39.683266666666668</c:v>
                </c:pt>
                <c:pt idx="58">
                  <c:v>40.147400000000005</c:v>
                </c:pt>
                <c:pt idx="59">
                  <c:v>40.611833333333337</c:v>
                </c:pt>
                <c:pt idx="60">
                  <c:v>41.076000000000001</c:v>
                </c:pt>
                <c:pt idx="61">
                  <c:v>41.539733333333338</c:v>
                </c:pt>
                <c:pt idx="62">
                  <c:v>42.004100000000001</c:v>
                </c:pt>
                <c:pt idx="63">
                  <c:v>42.468433333333337</c:v>
                </c:pt>
                <c:pt idx="64">
                  <c:v>43.261200000000002</c:v>
                </c:pt>
                <c:pt idx="65">
                  <c:v>43.727800000000002</c:v>
                </c:pt>
                <c:pt idx="66">
                  <c:v>44.192166666666665</c:v>
                </c:pt>
                <c:pt idx="67">
                  <c:v>44.656233333333333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7B-433C-92B8-251D77AAE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456048"/>
        <c:axId val="368454736"/>
      </c:scatterChart>
      <c:valAx>
        <c:axId val="36845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54736"/>
        <c:crosses val="autoZero"/>
        <c:crossBetween val="midCat"/>
      </c:valAx>
      <c:valAx>
        <c:axId val="368454736"/>
        <c:scaling>
          <c:orientation val="minMax"/>
          <c:max val="5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5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53340</xdr:colOff>
      <xdr:row>7</xdr:row>
      <xdr:rowOff>118110</xdr:rowOff>
    </xdr:from>
    <xdr:to>
      <xdr:col>15</xdr:col>
      <xdr:colOff>358140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80"/>
  <sheetViews>
    <sheetView tabSelected="1" topLeftCell="A4" workbookViewId="0">
      <selection activeCell="D84" sqref="D84"/>
    </sheetView>
  </sheetViews>
  <sheetFormatPr defaultRowHeight="14.4" x14ac:dyDescent="0.3"/>
  <sheetData>
    <row r="1" spans="1: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>
        <v>20.132999999999999</v>
      </c>
      <c r="B2">
        <f>A2/60</f>
        <v>0.33554999999999996</v>
      </c>
      <c r="C2">
        <v>18.899999999999999</v>
      </c>
      <c r="D2">
        <v>25</v>
      </c>
      <c r="E2">
        <v>2287.31</v>
      </c>
      <c r="F2">
        <v>19.22</v>
      </c>
    </row>
    <row r="3" spans="1:8" x14ac:dyDescent="0.3">
      <c r="A3">
        <v>40.005000000000003</v>
      </c>
      <c r="B3">
        <f t="shared" ref="B3:B66" si="0">A3/60</f>
        <v>0.66675000000000006</v>
      </c>
      <c r="C3">
        <v>19.5</v>
      </c>
      <c r="D3">
        <v>25</v>
      </c>
      <c r="E3">
        <v>2287.3200000000002</v>
      </c>
      <c r="F3">
        <v>19.21</v>
      </c>
      <c r="G3">
        <f>(C3-C2)/(B3-B2)</f>
        <v>1.8115942028985543</v>
      </c>
    </row>
    <row r="4" spans="1:8" x14ac:dyDescent="0.3">
      <c r="A4">
        <v>59.883000000000003</v>
      </c>
      <c r="B4">
        <f t="shared" si="0"/>
        <v>0.99804999999999999</v>
      </c>
      <c r="C4">
        <v>20.55</v>
      </c>
      <c r="D4">
        <v>25</v>
      </c>
      <c r="E4">
        <v>2287.29</v>
      </c>
      <c r="F4">
        <v>19.23</v>
      </c>
      <c r="G4">
        <f t="shared" ref="G4:G67" si="1">(C4-C3)/(B4-B3)</f>
        <v>3.1693329308783609</v>
      </c>
    </row>
    <row r="5" spans="1:8" x14ac:dyDescent="0.3">
      <c r="A5">
        <v>70.813000000000002</v>
      </c>
      <c r="B5">
        <f t="shared" si="0"/>
        <v>1.1802166666666667</v>
      </c>
      <c r="C5">
        <v>21.15</v>
      </c>
      <c r="D5">
        <v>25</v>
      </c>
      <c r="E5">
        <v>2287.31</v>
      </c>
      <c r="F5">
        <v>19.22</v>
      </c>
      <c r="G5">
        <f t="shared" si="1"/>
        <v>3.2936870997255139</v>
      </c>
    </row>
    <row r="6" spans="1:8" x14ac:dyDescent="0.3">
      <c r="A6">
        <v>91.71</v>
      </c>
      <c r="B6">
        <f t="shared" si="0"/>
        <v>1.5285</v>
      </c>
      <c r="C6">
        <v>22.15</v>
      </c>
      <c r="D6">
        <v>25</v>
      </c>
      <c r="E6">
        <v>2287.29</v>
      </c>
      <c r="F6">
        <v>19.21</v>
      </c>
      <c r="G6">
        <f t="shared" si="1"/>
        <v>2.8712255347657565</v>
      </c>
    </row>
    <row r="7" spans="1:8" x14ac:dyDescent="0.3">
      <c r="A7">
        <v>102.631</v>
      </c>
      <c r="B7">
        <f t="shared" si="0"/>
        <v>1.7105166666666667</v>
      </c>
      <c r="C7">
        <v>22.55</v>
      </c>
      <c r="D7">
        <v>25</v>
      </c>
      <c r="E7">
        <v>2287.3000000000002</v>
      </c>
      <c r="F7">
        <v>19.23</v>
      </c>
      <c r="G7">
        <f t="shared" si="1"/>
        <v>2.1976009522937572</v>
      </c>
    </row>
    <row r="8" spans="1:8" x14ac:dyDescent="0.3">
      <c r="A8">
        <v>113.574</v>
      </c>
      <c r="B8">
        <f t="shared" si="0"/>
        <v>1.8929</v>
      </c>
      <c r="C8">
        <v>22.8</v>
      </c>
      <c r="D8">
        <v>25</v>
      </c>
      <c r="E8">
        <v>2287.29</v>
      </c>
      <c r="F8">
        <v>19.27</v>
      </c>
      <c r="G8">
        <f t="shared" si="1"/>
        <v>1.3707392853879192</v>
      </c>
    </row>
    <row r="9" spans="1:8" x14ac:dyDescent="0.3">
      <c r="A9">
        <v>124.509</v>
      </c>
      <c r="B9">
        <f t="shared" si="0"/>
        <v>2.0751499999999998</v>
      </c>
      <c r="C9">
        <v>23.05</v>
      </c>
      <c r="D9">
        <v>25</v>
      </c>
      <c r="E9">
        <v>2287.3000000000002</v>
      </c>
      <c r="F9">
        <v>19.27</v>
      </c>
      <c r="G9">
        <f t="shared" si="1"/>
        <v>1.3717421124828548</v>
      </c>
    </row>
    <row r="10" spans="1:8" x14ac:dyDescent="0.3">
      <c r="A10">
        <v>144.381</v>
      </c>
      <c r="B10">
        <f t="shared" si="0"/>
        <v>2.4063500000000002</v>
      </c>
      <c r="C10">
        <v>23.4</v>
      </c>
      <c r="D10">
        <v>25</v>
      </c>
      <c r="E10">
        <v>2287.29</v>
      </c>
      <c r="F10">
        <v>19.27</v>
      </c>
      <c r="G10">
        <f t="shared" si="1"/>
        <v>1.0567632850241468</v>
      </c>
    </row>
    <row r="11" spans="1:8" x14ac:dyDescent="0.3">
      <c r="A11">
        <v>164.26300000000001</v>
      </c>
      <c r="B11">
        <f t="shared" si="0"/>
        <v>2.7377166666666666</v>
      </c>
      <c r="C11">
        <v>23.65</v>
      </c>
      <c r="D11">
        <v>25</v>
      </c>
      <c r="E11">
        <v>2287.3000000000002</v>
      </c>
      <c r="F11">
        <v>19.239999999999998</v>
      </c>
      <c r="G11">
        <f t="shared" si="1"/>
        <v>0.75445126244844651</v>
      </c>
      <c r="H11">
        <f>AVERAGE(G3:G11)</f>
        <v>1.9885707406561461</v>
      </c>
    </row>
    <row r="12" spans="1:8" x14ac:dyDescent="0.3">
      <c r="A12">
        <v>184.13900000000001</v>
      </c>
      <c r="B12">
        <f t="shared" si="0"/>
        <v>3.0689833333333336</v>
      </c>
      <c r="C12">
        <v>23.9</v>
      </c>
      <c r="D12">
        <v>25</v>
      </c>
      <c r="E12">
        <v>2287.29</v>
      </c>
      <c r="F12">
        <v>19.239999999999998</v>
      </c>
      <c r="G12">
        <f t="shared" si="1"/>
        <v>0.75467900986113823</v>
      </c>
      <c r="H12">
        <f t="shared" ref="H12:H75" si="2">AVERAGE(G4:G12)</f>
        <v>1.871135719207544</v>
      </c>
    </row>
    <row r="13" spans="1:8" x14ac:dyDescent="0.3">
      <c r="A13">
        <v>213.952</v>
      </c>
      <c r="B13">
        <f t="shared" si="0"/>
        <v>3.5658666666666665</v>
      </c>
      <c r="C13">
        <v>24.15</v>
      </c>
      <c r="D13">
        <v>25</v>
      </c>
      <c r="E13">
        <v>2287.29</v>
      </c>
      <c r="F13">
        <v>19.260000000000002</v>
      </c>
      <c r="G13">
        <f t="shared" si="1"/>
        <v>0.50313621574480971</v>
      </c>
      <c r="H13">
        <f t="shared" si="2"/>
        <v>1.5748916397482604</v>
      </c>
    </row>
    <row r="14" spans="1:8" x14ac:dyDescent="0.3">
      <c r="A14">
        <v>225.03700000000001</v>
      </c>
      <c r="B14">
        <f t="shared" si="0"/>
        <v>3.7506166666666667</v>
      </c>
      <c r="C14">
        <v>24.15</v>
      </c>
      <c r="D14">
        <v>25</v>
      </c>
      <c r="E14">
        <v>2287.2800000000002</v>
      </c>
      <c r="F14">
        <v>19.28</v>
      </c>
      <c r="G14">
        <f t="shared" si="1"/>
        <v>0</v>
      </c>
      <c r="H14">
        <f t="shared" si="2"/>
        <v>1.2089264064454257</v>
      </c>
    </row>
    <row r="15" spans="1:8" x14ac:dyDescent="0.3">
      <c r="A15">
        <v>235.964</v>
      </c>
      <c r="B15">
        <f t="shared" si="0"/>
        <v>3.9327333333333332</v>
      </c>
      <c r="C15">
        <v>24.2</v>
      </c>
      <c r="D15">
        <v>25</v>
      </c>
      <c r="E15">
        <v>2287.2800000000002</v>
      </c>
      <c r="F15">
        <v>19.28</v>
      </c>
      <c r="G15">
        <f t="shared" si="1"/>
        <v>0.27454928159605069</v>
      </c>
      <c r="H15">
        <f t="shared" si="2"/>
        <v>0.92040682275990227</v>
      </c>
    </row>
    <row r="16" spans="1:8" x14ac:dyDescent="0.3">
      <c r="A16">
        <v>246.92099999999999</v>
      </c>
      <c r="B16">
        <f t="shared" si="0"/>
        <v>4.1153500000000003</v>
      </c>
      <c r="C16">
        <v>24.2</v>
      </c>
      <c r="D16">
        <v>25</v>
      </c>
      <c r="E16">
        <v>2287.29</v>
      </c>
      <c r="F16">
        <v>19.27</v>
      </c>
      <c r="G16">
        <f t="shared" si="1"/>
        <v>0</v>
      </c>
      <c r="H16">
        <f t="shared" si="2"/>
        <v>0.67622893917170734</v>
      </c>
    </row>
    <row r="17" spans="1:8" x14ac:dyDescent="0.3">
      <c r="A17">
        <v>257.84899999999999</v>
      </c>
      <c r="B17">
        <f t="shared" si="0"/>
        <v>4.2974833333333331</v>
      </c>
      <c r="C17">
        <v>24.2</v>
      </c>
      <c r="D17">
        <v>25</v>
      </c>
      <c r="E17">
        <v>2287.2800000000002</v>
      </c>
      <c r="F17">
        <v>19.25</v>
      </c>
      <c r="G17">
        <f t="shared" si="1"/>
        <v>0</v>
      </c>
      <c r="H17">
        <f t="shared" si="2"/>
        <v>0.52392457412860527</v>
      </c>
    </row>
    <row r="18" spans="1:8" x14ac:dyDescent="0.3">
      <c r="A18">
        <v>285.49900000000002</v>
      </c>
      <c r="B18">
        <f t="shared" si="0"/>
        <v>4.7583166666666674</v>
      </c>
      <c r="C18">
        <v>24.25</v>
      </c>
      <c r="D18">
        <v>25</v>
      </c>
      <c r="E18">
        <v>2287.2800000000002</v>
      </c>
      <c r="F18">
        <v>19.239999999999998</v>
      </c>
      <c r="G18">
        <f t="shared" si="1"/>
        <v>0.10849909584086931</v>
      </c>
      <c r="H18">
        <f t="shared" si="2"/>
        <v>0.38356423894616237</v>
      </c>
    </row>
    <row r="19" spans="1:8" x14ac:dyDescent="0.3">
      <c r="A19">
        <v>299.47399999999999</v>
      </c>
      <c r="B19">
        <f t="shared" si="0"/>
        <v>4.9912333333333327</v>
      </c>
      <c r="C19">
        <v>24.35</v>
      </c>
      <c r="D19">
        <v>25</v>
      </c>
      <c r="E19">
        <v>2287.27</v>
      </c>
      <c r="F19">
        <v>19.27</v>
      </c>
      <c r="G19">
        <f t="shared" si="1"/>
        <v>0.42933810375671699</v>
      </c>
      <c r="H19">
        <f t="shared" si="2"/>
        <v>0.31385032991644796</v>
      </c>
    </row>
    <row r="20" spans="1:8" x14ac:dyDescent="0.3">
      <c r="A20">
        <v>313.41399999999999</v>
      </c>
      <c r="B20">
        <f t="shared" si="0"/>
        <v>5.2235666666666667</v>
      </c>
      <c r="C20">
        <v>24.35</v>
      </c>
      <c r="D20">
        <v>25</v>
      </c>
      <c r="E20">
        <v>2287.2800000000002</v>
      </c>
      <c r="F20">
        <v>19.27</v>
      </c>
      <c r="G20">
        <f t="shared" si="1"/>
        <v>0</v>
      </c>
      <c r="H20">
        <f t="shared" si="2"/>
        <v>0.23002241186662056</v>
      </c>
    </row>
    <row r="21" spans="1:8" x14ac:dyDescent="0.3">
      <c r="A21">
        <v>327.339</v>
      </c>
      <c r="B21">
        <f t="shared" si="0"/>
        <v>5.4556500000000003</v>
      </c>
      <c r="C21">
        <v>24.35</v>
      </c>
      <c r="D21">
        <v>25</v>
      </c>
      <c r="E21">
        <v>2287.27</v>
      </c>
      <c r="F21">
        <v>19.25</v>
      </c>
      <c r="G21">
        <f t="shared" si="1"/>
        <v>0</v>
      </c>
      <c r="H21">
        <f t="shared" si="2"/>
        <v>0.1461691885487163</v>
      </c>
    </row>
    <row r="22" spans="1:8" x14ac:dyDescent="0.3">
      <c r="A22">
        <v>341.25</v>
      </c>
      <c r="B22">
        <f t="shared" si="0"/>
        <v>5.6875</v>
      </c>
      <c r="C22">
        <v>24.35</v>
      </c>
      <c r="D22">
        <v>25</v>
      </c>
      <c r="E22">
        <v>2287.27</v>
      </c>
      <c r="F22">
        <v>19.27</v>
      </c>
      <c r="G22">
        <f t="shared" si="1"/>
        <v>0</v>
      </c>
      <c r="H22">
        <f t="shared" si="2"/>
        <v>9.0265164577070775E-2</v>
      </c>
    </row>
    <row r="23" spans="1:8" x14ac:dyDescent="0.3">
      <c r="A23">
        <v>355.178</v>
      </c>
      <c r="B23">
        <f t="shared" si="0"/>
        <v>5.9196333333333335</v>
      </c>
      <c r="C23">
        <v>24.3</v>
      </c>
      <c r="D23">
        <v>25</v>
      </c>
      <c r="E23">
        <v>2287.2800000000002</v>
      </c>
      <c r="F23">
        <v>19.25</v>
      </c>
      <c r="G23">
        <f t="shared" si="1"/>
        <v>-0.21539345203906091</v>
      </c>
      <c r="H23">
        <f t="shared" si="2"/>
        <v>6.6332558794952895E-2</v>
      </c>
    </row>
    <row r="24" spans="1:8" x14ac:dyDescent="0.3">
      <c r="A24">
        <v>369.12</v>
      </c>
      <c r="B24">
        <f t="shared" si="0"/>
        <v>6.1520000000000001</v>
      </c>
      <c r="C24">
        <v>24.25</v>
      </c>
      <c r="D24">
        <v>25</v>
      </c>
      <c r="E24">
        <v>2287.27</v>
      </c>
      <c r="F24">
        <v>19.28</v>
      </c>
      <c r="G24">
        <f t="shared" si="1"/>
        <v>-0.21517716253048655</v>
      </c>
      <c r="H24">
        <f t="shared" si="2"/>
        <v>1.1918509447559879E-2</v>
      </c>
    </row>
    <row r="25" spans="1:8" x14ac:dyDescent="0.3">
      <c r="A25">
        <v>383.02100000000002</v>
      </c>
      <c r="B25">
        <f t="shared" si="0"/>
        <v>6.3836833333333338</v>
      </c>
      <c r="C25">
        <v>24.25</v>
      </c>
      <c r="D25">
        <v>25</v>
      </c>
      <c r="E25">
        <v>2287.27</v>
      </c>
      <c r="F25">
        <v>19.29</v>
      </c>
      <c r="G25">
        <f t="shared" si="1"/>
        <v>0</v>
      </c>
      <c r="H25">
        <f t="shared" si="2"/>
        <v>1.1918509447559879E-2</v>
      </c>
    </row>
    <row r="26" spans="1:8" x14ac:dyDescent="0.3">
      <c r="A26">
        <v>396.94799999999998</v>
      </c>
      <c r="B26">
        <f t="shared" si="0"/>
        <v>6.6157999999999992</v>
      </c>
      <c r="C26">
        <v>24.3</v>
      </c>
      <c r="D26">
        <v>25</v>
      </c>
      <c r="E26">
        <v>2287.27</v>
      </c>
      <c r="F26">
        <v>19.260000000000002</v>
      </c>
      <c r="G26">
        <f t="shared" si="1"/>
        <v>0.21540891792920649</v>
      </c>
      <c r="H26">
        <f t="shared" si="2"/>
        <v>3.5852833661916154E-2</v>
      </c>
    </row>
    <row r="27" spans="1:8" x14ac:dyDescent="0.3">
      <c r="A27">
        <v>410.87299999999999</v>
      </c>
      <c r="B27">
        <f t="shared" si="0"/>
        <v>6.8478833333333329</v>
      </c>
      <c r="C27">
        <v>24.45</v>
      </c>
      <c r="D27">
        <f>$D$26+(B27-$B$26)*2</f>
        <v>25.464166666666667</v>
      </c>
      <c r="E27">
        <v>2287.27</v>
      </c>
      <c r="F27">
        <v>19.260000000000002</v>
      </c>
      <c r="G27">
        <f t="shared" si="1"/>
        <v>0.64631956912028032</v>
      </c>
      <c r="H27">
        <f t="shared" si="2"/>
        <v>9.5610664026295158E-2</v>
      </c>
    </row>
    <row r="28" spans="1:8" x14ac:dyDescent="0.3">
      <c r="A28">
        <v>424.82299999999998</v>
      </c>
      <c r="B28">
        <f t="shared" si="0"/>
        <v>7.0803833333333328</v>
      </c>
      <c r="C28">
        <v>24.6</v>
      </c>
      <c r="D28">
        <f t="shared" ref="D28:D80" si="3">$D$26+(B28-$B$26)*2</f>
        <v>25.929166666666667</v>
      </c>
      <c r="E28">
        <v>2287.27</v>
      </c>
      <c r="F28">
        <v>19.25</v>
      </c>
      <c r="G28">
        <f t="shared" si="1"/>
        <v>0.64516129032259006</v>
      </c>
      <c r="H28">
        <f t="shared" si="2"/>
        <v>0.11959101808916994</v>
      </c>
    </row>
    <row r="29" spans="1:8" x14ac:dyDescent="0.3">
      <c r="A29">
        <v>435.67099999999999</v>
      </c>
      <c r="B29">
        <f t="shared" si="0"/>
        <v>7.2611833333333333</v>
      </c>
      <c r="C29">
        <v>24.85</v>
      </c>
      <c r="D29">
        <f t="shared" si="3"/>
        <v>26.29076666666667</v>
      </c>
      <c r="E29">
        <v>2287.27</v>
      </c>
      <c r="F29">
        <v>19.27</v>
      </c>
      <c r="G29">
        <f t="shared" si="1"/>
        <v>1.3827433628318544</v>
      </c>
      <c r="H29">
        <f t="shared" si="2"/>
        <v>0.27322916951493154</v>
      </c>
    </row>
    <row r="30" spans="1:8" x14ac:dyDescent="0.3">
      <c r="A30">
        <v>446.613</v>
      </c>
      <c r="B30">
        <f t="shared" si="0"/>
        <v>7.4435500000000001</v>
      </c>
      <c r="C30">
        <v>25.15</v>
      </c>
      <c r="D30">
        <f t="shared" si="3"/>
        <v>26.655500000000004</v>
      </c>
      <c r="E30">
        <v>2287.2800000000002</v>
      </c>
      <c r="F30">
        <v>19.28</v>
      </c>
      <c r="G30">
        <f t="shared" si="1"/>
        <v>1.6450374702979178</v>
      </c>
      <c r="H30">
        <f t="shared" si="2"/>
        <v>0.45601111065914463</v>
      </c>
    </row>
    <row r="31" spans="1:8" x14ac:dyDescent="0.3">
      <c r="A31">
        <v>457.54599999999999</v>
      </c>
      <c r="B31">
        <f t="shared" si="0"/>
        <v>7.6257666666666664</v>
      </c>
      <c r="C31">
        <v>25.45</v>
      </c>
      <c r="D31">
        <f t="shared" si="3"/>
        <v>27.019933333333334</v>
      </c>
      <c r="E31">
        <v>2287.2600000000002</v>
      </c>
      <c r="F31">
        <v>19.28</v>
      </c>
      <c r="G31">
        <f t="shared" si="1"/>
        <v>1.6463916582822724</v>
      </c>
      <c r="H31">
        <f t="shared" si="2"/>
        <v>0.63894351713495268</v>
      </c>
    </row>
    <row r="32" spans="1:8" x14ac:dyDescent="0.3">
      <c r="A32">
        <v>468.459</v>
      </c>
      <c r="B32">
        <f t="shared" si="0"/>
        <v>7.8076499999999998</v>
      </c>
      <c r="C32">
        <v>25.7</v>
      </c>
      <c r="D32">
        <f t="shared" si="3"/>
        <v>27.383700000000001</v>
      </c>
      <c r="E32">
        <v>2287.27</v>
      </c>
      <c r="F32">
        <v>19.3</v>
      </c>
      <c r="G32">
        <f t="shared" si="1"/>
        <v>1.3745074681572431</v>
      </c>
      <c r="H32">
        <f t="shared" si="2"/>
        <v>0.81559917493454204</v>
      </c>
    </row>
    <row r="33" spans="1:8" x14ac:dyDescent="0.3">
      <c r="A33">
        <v>479.40100000000001</v>
      </c>
      <c r="B33">
        <f t="shared" si="0"/>
        <v>7.9900166666666665</v>
      </c>
      <c r="C33">
        <v>26</v>
      </c>
      <c r="D33">
        <f t="shared" si="3"/>
        <v>27.748433333333335</v>
      </c>
      <c r="E33">
        <v>2287.27</v>
      </c>
      <c r="F33">
        <v>19.3</v>
      </c>
      <c r="G33">
        <f t="shared" si="1"/>
        <v>1.6450374702979373</v>
      </c>
      <c r="H33">
        <f t="shared" si="2"/>
        <v>1.0222896896932556</v>
      </c>
    </row>
    <row r="34" spans="1:8" x14ac:dyDescent="0.3">
      <c r="A34">
        <v>490.33800000000002</v>
      </c>
      <c r="B34">
        <f t="shared" si="0"/>
        <v>8.1722999999999999</v>
      </c>
      <c r="C34">
        <v>26.4</v>
      </c>
      <c r="D34">
        <f t="shared" si="3"/>
        <v>28.113</v>
      </c>
      <c r="E34">
        <v>2287.2600000000002</v>
      </c>
      <c r="F34">
        <v>19.309999999999999</v>
      </c>
      <c r="G34">
        <f t="shared" si="1"/>
        <v>2.194386029075607</v>
      </c>
      <c r="H34">
        <f t="shared" si="2"/>
        <v>1.2661103595905454</v>
      </c>
    </row>
    <row r="35" spans="1:8" x14ac:dyDescent="0.3">
      <c r="A35">
        <v>501.26</v>
      </c>
      <c r="B35">
        <f t="shared" si="0"/>
        <v>8.3543333333333329</v>
      </c>
      <c r="C35">
        <v>26.75</v>
      </c>
      <c r="D35">
        <f t="shared" si="3"/>
        <v>28.477066666666666</v>
      </c>
      <c r="E35">
        <v>2287.2800000000002</v>
      </c>
      <c r="F35">
        <v>19.32</v>
      </c>
      <c r="G35">
        <f t="shared" si="1"/>
        <v>1.9227247756821204</v>
      </c>
      <c r="H35">
        <f t="shared" si="2"/>
        <v>1.4558121215630913</v>
      </c>
    </row>
    <row r="36" spans="1:8" x14ac:dyDescent="0.3">
      <c r="A36">
        <v>512.23299999999995</v>
      </c>
      <c r="B36">
        <f t="shared" si="0"/>
        <v>8.5372166666666658</v>
      </c>
      <c r="C36">
        <v>27</v>
      </c>
      <c r="D36">
        <f t="shared" si="3"/>
        <v>28.842833333333331</v>
      </c>
      <c r="E36">
        <v>2287.2600000000002</v>
      </c>
      <c r="F36">
        <v>19.309999999999999</v>
      </c>
      <c r="G36">
        <f t="shared" si="1"/>
        <v>1.3669917069169817</v>
      </c>
      <c r="H36">
        <f t="shared" si="2"/>
        <v>1.5358868035405027</v>
      </c>
    </row>
    <row r="37" spans="1:8" x14ac:dyDescent="0.3">
      <c r="A37">
        <v>523.16999999999996</v>
      </c>
      <c r="B37">
        <f t="shared" si="0"/>
        <v>8.7195</v>
      </c>
      <c r="C37">
        <v>27.3</v>
      </c>
      <c r="D37">
        <f t="shared" si="3"/>
        <v>29.2074</v>
      </c>
      <c r="E37">
        <v>2287.2600000000002</v>
      </c>
      <c r="F37">
        <v>19.329999999999998</v>
      </c>
      <c r="G37">
        <f t="shared" si="1"/>
        <v>1.6457895218067069</v>
      </c>
      <c r="H37">
        <f t="shared" si="2"/>
        <v>1.6470677181498492</v>
      </c>
    </row>
    <row r="38" spans="1:8" x14ac:dyDescent="0.3">
      <c r="A38">
        <v>550.98299999999995</v>
      </c>
      <c r="B38">
        <f t="shared" si="0"/>
        <v>9.1830499999999997</v>
      </c>
      <c r="C38">
        <v>28.1</v>
      </c>
      <c r="D38">
        <f t="shared" si="3"/>
        <v>30.134500000000003</v>
      </c>
      <c r="E38">
        <v>2287.2600000000002</v>
      </c>
      <c r="F38">
        <v>19.32</v>
      </c>
      <c r="G38">
        <f t="shared" si="1"/>
        <v>1.7258116708014266</v>
      </c>
      <c r="H38">
        <f t="shared" si="2"/>
        <v>1.6851864190353572</v>
      </c>
    </row>
    <row r="39" spans="1:8" x14ac:dyDescent="0.3">
      <c r="A39">
        <v>564.98400000000004</v>
      </c>
      <c r="B39">
        <f t="shared" si="0"/>
        <v>9.4164000000000012</v>
      </c>
      <c r="C39">
        <v>28.45</v>
      </c>
      <c r="D39">
        <f t="shared" si="3"/>
        <v>30.601200000000006</v>
      </c>
      <c r="E39">
        <v>2287.2600000000002</v>
      </c>
      <c r="F39">
        <v>19.32</v>
      </c>
      <c r="G39">
        <f t="shared" si="1"/>
        <v>1.4998928647953529</v>
      </c>
      <c r="H39">
        <f t="shared" si="2"/>
        <v>1.6690592406461833</v>
      </c>
    </row>
    <row r="40" spans="1:8" x14ac:dyDescent="0.3">
      <c r="A40">
        <v>578.90700000000004</v>
      </c>
      <c r="B40">
        <f t="shared" si="0"/>
        <v>9.6484500000000004</v>
      </c>
      <c r="C40">
        <v>28.8</v>
      </c>
      <c r="D40">
        <f t="shared" si="3"/>
        <v>31.065300000000001</v>
      </c>
      <c r="E40">
        <v>2287.2600000000002</v>
      </c>
      <c r="F40">
        <v>19.34</v>
      </c>
      <c r="G40">
        <f t="shared" si="1"/>
        <v>1.5082956259426961</v>
      </c>
      <c r="H40">
        <f t="shared" si="2"/>
        <v>1.6537152370528969</v>
      </c>
    </row>
    <row r="41" spans="1:8" x14ac:dyDescent="0.3">
      <c r="A41">
        <v>592.82600000000002</v>
      </c>
      <c r="B41">
        <f t="shared" si="0"/>
        <v>9.8804333333333343</v>
      </c>
      <c r="C41">
        <v>29.15</v>
      </c>
      <c r="D41">
        <f t="shared" si="3"/>
        <v>31.529266666666672</v>
      </c>
      <c r="E41">
        <v>2287.27</v>
      </c>
      <c r="F41">
        <v>19.309999999999999</v>
      </c>
      <c r="G41">
        <f t="shared" si="1"/>
        <v>1.5087290753645968</v>
      </c>
      <c r="H41">
        <f t="shared" si="2"/>
        <v>1.6686287489648253</v>
      </c>
    </row>
    <row r="42" spans="1:8" x14ac:dyDescent="0.3">
      <c r="A42">
        <v>606.75300000000004</v>
      </c>
      <c r="B42">
        <f t="shared" si="0"/>
        <v>10.112550000000001</v>
      </c>
      <c r="C42">
        <v>29.5</v>
      </c>
      <c r="D42">
        <f t="shared" si="3"/>
        <v>31.993500000000004</v>
      </c>
      <c r="E42">
        <v>2287.25</v>
      </c>
      <c r="F42">
        <v>19.29</v>
      </c>
      <c r="G42">
        <f t="shared" si="1"/>
        <v>1.5078624255044244</v>
      </c>
      <c r="H42">
        <f t="shared" si="2"/>
        <v>1.6533870773211012</v>
      </c>
    </row>
    <row r="43" spans="1:8" x14ac:dyDescent="0.3">
      <c r="A43">
        <v>620.68299999999999</v>
      </c>
      <c r="B43">
        <f t="shared" si="0"/>
        <v>10.344716666666667</v>
      </c>
      <c r="C43">
        <v>29.8</v>
      </c>
      <c r="D43">
        <f t="shared" si="3"/>
        <v>32.457833333333333</v>
      </c>
      <c r="E43">
        <v>2287.27</v>
      </c>
      <c r="F43">
        <v>19.309999999999999</v>
      </c>
      <c r="G43">
        <f t="shared" si="1"/>
        <v>1.2921751615219008</v>
      </c>
      <c r="H43">
        <f t="shared" si="2"/>
        <v>1.5531414253706894</v>
      </c>
    </row>
    <row r="44" spans="1:8" x14ac:dyDescent="0.3">
      <c r="A44">
        <v>634.60199999999998</v>
      </c>
      <c r="B44">
        <f t="shared" si="0"/>
        <v>10.576699999999999</v>
      </c>
      <c r="C44">
        <v>30.35</v>
      </c>
      <c r="D44">
        <f t="shared" si="3"/>
        <v>32.921799999999998</v>
      </c>
      <c r="E44">
        <v>2287.2600000000002</v>
      </c>
      <c r="F44">
        <v>19.3</v>
      </c>
      <c r="G44">
        <f t="shared" si="1"/>
        <v>2.3708599755729733</v>
      </c>
      <c r="H44">
        <f t="shared" si="2"/>
        <v>1.6029342253585619</v>
      </c>
    </row>
    <row r="45" spans="1:8" x14ac:dyDescent="0.3">
      <c r="A45">
        <v>648.52800000000002</v>
      </c>
      <c r="B45">
        <f t="shared" si="0"/>
        <v>10.8088</v>
      </c>
      <c r="C45">
        <v>30.9</v>
      </c>
      <c r="D45">
        <f t="shared" si="3"/>
        <v>33.386000000000003</v>
      </c>
      <c r="E45">
        <v>2287.2600000000002</v>
      </c>
      <c r="F45">
        <v>19.28</v>
      </c>
      <c r="G45">
        <f t="shared" si="1"/>
        <v>2.3696682464454768</v>
      </c>
      <c r="H45">
        <f t="shared" si="2"/>
        <v>1.7143427297506171</v>
      </c>
    </row>
    <row r="46" spans="1:8" x14ac:dyDescent="0.3">
      <c r="A46">
        <v>662.45100000000002</v>
      </c>
      <c r="B46">
        <f t="shared" si="0"/>
        <v>11.040850000000001</v>
      </c>
      <c r="C46">
        <v>31.15</v>
      </c>
      <c r="D46">
        <f t="shared" si="3"/>
        <v>33.850100000000005</v>
      </c>
      <c r="E46">
        <v>2287.25</v>
      </c>
      <c r="F46">
        <v>19.3</v>
      </c>
      <c r="G46">
        <f t="shared" si="1"/>
        <v>1.0773540185304846</v>
      </c>
      <c r="H46">
        <f t="shared" si="2"/>
        <v>1.6511832293865925</v>
      </c>
    </row>
    <row r="47" spans="1:8" x14ac:dyDescent="0.3">
      <c r="A47">
        <v>676.37400000000002</v>
      </c>
      <c r="B47">
        <f t="shared" si="0"/>
        <v>11.2729</v>
      </c>
      <c r="C47">
        <v>31.55</v>
      </c>
      <c r="D47">
        <f t="shared" si="3"/>
        <v>34.3142</v>
      </c>
      <c r="E47">
        <v>2287.2600000000002</v>
      </c>
      <c r="F47">
        <v>19.329999999999998</v>
      </c>
      <c r="G47">
        <f t="shared" si="1"/>
        <v>1.7237664296487978</v>
      </c>
      <c r="H47">
        <f t="shared" si="2"/>
        <v>1.6509559803696339</v>
      </c>
    </row>
    <row r="48" spans="1:8" x14ac:dyDescent="0.3">
      <c r="A48">
        <v>691.37300000000005</v>
      </c>
      <c r="B48">
        <f t="shared" si="0"/>
        <v>11.522883333333334</v>
      </c>
      <c r="C48">
        <v>32</v>
      </c>
      <c r="D48">
        <f t="shared" si="3"/>
        <v>34.814166666666672</v>
      </c>
      <c r="E48">
        <v>2287.25</v>
      </c>
      <c r="F48">
        <v>19.329999999999998</v>
      </c>
      <c r="G48">
        <f t="shared" si="1"/>
        <v>1.8001200080005217</v>
      </c>
      <c r="H48">
        <f t="shared" si="2"/>
        <v>1.6843145518368747</v>
      </c>
    </row>
    <row r="49" spans="1:8" x14ac:dyDescent="0.3">
      <c r="A49">
        <v>702.17</v>
      </c>
      <c r="B49">
        <f t="shared" si="0"/>
        <v>11.702833333333333</v>
      </c>
      <c r="C49">
        <v>32.299999999999997</v>
      </c>
      <c r="D49">
        <f t="shared" si="3"/>
        <v>35.174066666666668</v>
      </c>
      <c r="E49">
        <v>2287.2600000000002</v>
      </c>
      <c r="F49">
        <v>19.34</v>
      </c>
      <c r="G49">
        <f t="shared" si="1"/>
        <v>1.6671297582661873</v>
      </c>
      <c r="H49">
        <f t="shared" si="2"/>
        <v>1.701962788761707</v>
      </c>
    </row>
    <row r="50" spans="1:8" x14ac:dyDescent="0.3">
      <c r="A50">
        <v>713.10500000000002</v>
      </c>
      <c r="B50">
        <f t="shared" si="0"/>
        <v>11.885083333333334</v>
      </c>
      <c r="C50">
        <v>32.700000000000003</v>
      </c>
      <c r="D50">
        <f t="shared" si="3"/>
        <v>35.538566666666668</v>
      </c>
      <c r="E50">
        <v>2287.2399999999998</v>
      </c>
      <c r="F50">
        <v>19.34</v>
      </c>
      <c r="G50">
        <f t="shared" si="1"/>
        <v>2.1947873799725772</v>
      </c>
      <c r="H50">
        <f t="shared" si="2"/>
        <v>1.7781914892737047</v>
      </c>
    </row>
    <row r="51" spans="1:8" x14ac:dyDescent="0.3">
      <c r="A51">
        <v>724.01800000000003</v>
      </c>
      <c r="B51">
        <f t="shared" si="0"/>
        <v>12.066966666666668</v>
      </c>
      <c r="C51">
        <v>33</v>
      </c>
      <c r="D51">
        <f t="shared" si="3"/>
        <v>35.902333333333338</v>
      </c>
      <c r="E51">
        <v>2287.25</v>
      </c>
      <c r="F51">
        <v>19.36</v>
      </c>
      <c r="G51">
        <f t="shared" si="1"/>
        <v>1.6494089617886762</v>
      </c>
      <c r="H51">
        <f t="shared" si="2"/>
        <v>1.7939188821941774</v>
      </c>
    </row>
    <row r="52" spans="1:8" x14ac:dyDescent="0.3">
      <c r="A52">
        <v>734.96299999999997</v>
      </c>
      <c r="B52">
        <f t="shared" si="0"/>
        <v>12.249383333333332</v>
      </c>
      <c r="C52">
        <v>33.25</v>
      </c>
      <c r="D52">
        <f t="shared" si="3"/>
        <v>36.267166666666668</v>
      </c>
      <c r="E52">
        <v>2287.2600000000002</v>
      </c>
      <c r="F52">
        <v>19.34</v>
      </c>
      <c r="G52">
        <f t="shared" si="1"/>
        <v>1.3704888076747506</v>
      </c>
      <c r="H52">
        <f t="shared" si="2"/>
        <v>1.8026203984333828</v>
      </c>
    </row>
    <row r="53" spans="1:8" x14ac:dyDescent="0.3">
      <c r="A53">
        <v>745.92200000000003</v>
      </c>
      <c r="B53">
        <f t="shared" si="0"/>
        <v>12.432033333333333</v>
      </c>
      <c r="C53">
        <v>33.549999999999997</v>
      </c>
      <c r="D53">
        <f t="shared" si="3"/>
        <v>36.632466666666666</v>
      </c>
      <c r="E53">
        <v>2287.27</v>
      </c>
      <c r="F53">
        <v>19.36</v>
      </c>
      <c r="G53">
        <f t="shared" si="1"/>
        <v>1.6424856282507314</v>
      </c>
      <c r="H53">
        <f t="shared" si="2"/>
        <v>1.7216899153975784</v>
      </c>
    </row>
    <row r="54" spans="1:8" x14ac:dyDescent="0.3">
      <c r="A54">
        <v>756.85299999999995</v>
      </c>
      <c r="B54">
        <f t="shared" si="0"/>
        <v>12.614216666666666</v>
      </c>
      <c r="C54">
        <v>33.950000000000003</v>
      </c>
      <c r="D54">
        <f t="shared" si="3"/>
        <v>36.996833333333335</v>
      </c>
      <c r="E54">
        <v>2287.25</v>
      </c>
      <c r="F54">
        <v>19.37</v>
      </c>
      <c r="G54">
        <f t="shared" si="1"/>
        <v>2.1955905223676173</v>
      </c>
      <c r="H54">
        <f t="shared" si="2"/>
        <v>1.7023479460555937</v>
      </c>
    </row>
    <row r="55" spans="1:8" x14ac:dyDescent="0.3">
      <c r="A55">
        <v>767.79</v>
      </c>
      <c r="B55">
        <f t="shared" si="0"/>
        <v>12.7965</v>
      </c>
      <c r="C55">
        <v>34.35</v>
      </c>
      <c r="D55">
        <f t="shared" si="3"/>
        <v>37.361400000000003</v>
      </c>
      <c r="E55">
        <v>2287.2600000000002</v>
      </c>
      <c r="F55">
        <v>19.399999999999999</v>
      </c>
      <c r="G55">
        <f t="shared" si="1"/>
        <v>2.1943860290755963</v>
      </c>
      <c r="H55">
        <f t="shared" si="2"/>
        <v>1.8264626138939397</v>
      </c>
    </row>
    <row r="56" spans="1:8" x14ac:dyDescent="0.3">
      <c r="A56">
        <v>795.625</v>
      </c>
      <c r="B56">
        <f t="shared" si="0"/>
        <v>13.260416666666666</v>
      </c>
      <c r="C56">
        <v>35.1</v>
      </c>
      <c r="D56">
        <f t="shared" si="3"/>
        <v>38.289233333333335</v>
      </c>
      <c r="E56">
        <v>2287.25</v>
      </c>
      <c r="F56">
        <v>19.329999999999998</v>
      </c>
      <c r="G56">
        <f t="shared" si="1"/>
        <v>1.6166696604993733</v>
      </c>
      <c r="H56">
        <f t="shared" si="2"/>
        <v>1.8145629728773369</v>
      </c>
    </row>
    <row r="57" spans="1:8" x14ac:dyDescent="0.3">
      <c r="A57">
        <v>809.59799999999996</v>
      </c>
      <c r="B57">
        <f t="shared" si="0"/>
        <v>13.4933</v>
      </c>
      <c r="C57">
        <v>35.549999999999997</v>
      </c>
      <c r="D57">
        <f t="shared" si="3"/>
        <v>38.755000000000003</v>
      </c>
      <c r="E57">
        <v>2287.25</v>
      </c>
      <c r="F57">
        <v>19.329999999999998</v>
      </c>
      <c r="G57">
        <f t="shared" si="1"/>
        <v>1.9322980032920432</v>
      </c>
      <c r="H57">
        <f t="shared" si="2"/>
        <v>1.8292494167986169</v>
      </c>
    </row>
    <row r="58" spans="1:8" x14ac:dyDescent="0.3">
      <c r="A58">
        <v>823.51700000000005</v>
      </c>
      <c r="B58">
        <f t="shared" si="0"/>
        <v>13.725283333333334</v>
      </c>
      <c r="C58">
        <v>36.049999999999997</v>
      </c>
      <c r="D58">
        <f t="shared" si="3"/>
        <v>39.218966666666667</v>
      </c>
      <c r="E58">
        <v>2287.25</v>
      </c>
      <c r="F58">
        <v>19.38</v>
      </c>
      <c r="G58">
        <f t="shared" si="1"/>
        <v>2.1553272505208656</v>
      </c>
      <c r="H58">
        <f t="shared" si="2"/>
        <v>1.8834935826046926</v>
      </c>
    </row>
    <row r="59" spans="1:8" x14ac:dyDescent="0.3">
      <c r="A59">
        <v>837.44600000000003</v>
      </c>
      <c r="B59">
        <f t="shared" si="0"/>
        <v>13.957433333333334</v>
      </c>
      <c r="C59">
        <v>36.35</v>
      </c>
      <c r="D59">
        <f t="shared" si="3"/>
        <v>39.683266666666668</v>
      </c>
      <c r="E59">
        <v>2287.27</v>
      </c>
      <c r="F59">
        <v>19.38</v>
      </c>
      <c r="G59">
        <f t="shared" si="1"/>
        <v>1.2922679302175459</v>
      </c>
      <c r="H59">
        <f t="shared" si="2"/>
        <v>1.7832136437430224</v>
      </c>
    </row>
    <row r="60" spans="1:8" x14ac:dyDescent="0.3">
      <c r="A60">
        <v>851.37</v>
      </c>
      <c r="B60">
        <f t="shared" si="0"/>
        <v>14.189500000000001</v>
      </c>
      <c r="C60">
        <v>36.85</v>
      </c>
      <c r="D60">
        <f t="shared" si="3"/>
        <v>40.147400000000005</v>
      </c>
      <c r="E60">
        <v>2287.2600000000002</v>
      </c>
      <c r="F60">
        <v>19.41</v>
      </c>
      <c r="G60">
        <f t="shared" si="1"/>
        <v>2.1545532892846904</v>
      </c>
      <c r="H60">
        <f t="shared" si="2"/>
        <v>1.8393407912425797</v>
      </c>
    </row>
    <row r="61" spans="1:8" x14ac:dyDescent="0.3">
      <c r="A61">
        <v>865.303</v>
      </c>
      <c r="B61">
        <f t="shared" si="0"/>
        <v>14.421716666666667</v>
      </c>
      <c r="C61">
        <v>37.25</v>
      </c>
      <c r="D61">
        <f t="shared" si="3"/>
        <v>40.611833333333337</v>
      </c>
      <c r="E61">
        <v>2287.2600000000002</v>
      </c>
      <c r="F61">
        <v>19.420000000000002</v>
      </c>
      <c r="G61">
        <f t="shared" si="1"/>
        <v>1.7225292471111733</v>
      </c>
      <c r="H61">
        <f t="shared" si="2"/>
        <v>1.8784563956244043</v>
      </c>
    </row>
    <row r="62" spans="1:8" x14ac:dyDescent="0.3">
      <c r="A62">
        <v>879.22799999999995</v>
      </c>
      <c r="B62">
        <f t="shared" si="0"/>
        <v>14.653799999999999</v>
      </c>
      <c r="C62">
        <v>37.6</v>
      </c>
      <c r="D62">
        <f t="shared" si="3"/>
        <v>41.076000000000001</v>
      </c>
      <c r="E62">
        <v>2287.27</v>
      </c>
      <c r="F62">
        <v>19.420000000000002</v>
      </c>
      <c r="G62">
        <f t="shared" si="1"/>
        <v>1.5080789946140192</v>
      </c>
      <c r="H62">
        <f t="shared" si="2"/>
        <v>1.8635223252203252</v>
      </c>
    </row>
    <row r="63" spans="1:8" x14ac:dyDescent="0.3">
      <c r="A63">
        <v>893.14</v>
      </c>
      <c r="B63">
        <f t="shared" si="0"/>
        <v>14.885666666666667</v>
      </c>
      <c r="C63">
        <v>37.9</v>
      </c>
      <c r="D63">
        <f t="shared" si="3"/>
        <v>41.539733333333338</v>
      </c>
      <c r="E63">
        <v>2287.27</v>
      </c>
      <c r="F63">
        <v>19.38</v>
      </c>
      <c r="G63">
        <f t="shared" si="1"/>
        <v>1.2938470385278662</v>
      </c>
      <c r="H63">
        <f t="shared" si="2"/>
        <v>1.763328604793686</v>
      </c>
    </row>
    <row r="64" spans="1:8" x14ac:dyDescent="0.3">
      <c r="A64">
        <v>907.07100000000003</v>
      </c>
      <c r="B64">
        <f t="shared" si="0"/>
        <v>15.117850000000001</v>
      </c>
      <c r="C64">
        <v>38.35</v>
      </c>
      <c r="D64">
        <f t="shared" si="3"/>
        <v>42.004100000000001</v>
      </c>
      <c r="E64">
        <v>2287.2600000000002</v>
      </c>
      <c r="F64">
        <v>19.39</v>
      </c>
      <c r="G64">
        <f t="shared" si="1"/>
        <v>1.9381236092168661</v>
      </c>
      <c r="H64">
        <f t="shared" si="2"/>
        <v>1.7348550025871605</v>
      </c>
    </row>
    <row r="65" spans="1:8" x14ac:dyDescent="0.3">
      <c r="A65">
        <v>921.00099999999998</v>
      </c>
      <c r="B65">
        <f t="shared" si="0"/>
        <v>15.350016666666667</v>
      </c>
      <c r="C65">
        <v>38.9</v>
      </c>
      <c r="D65">
        <f t="shared" si="3"/>
        <v>42.468433333333337</v>
      </c>
      <c r="E65">
        <v>2287.2399999999998</v>
      </c>
      <c r="F65">
        <v>19.43</v>
      </c>
      <c r="G65">
        <f t="shared" si="1"/>
        <v>2.3689877961234673</v>
      </c>
      <c r="H65">
        <f t="shared" si="2"/>
        <v>1.8184459065453931</v>
      </c>
    </row>
    <row r="66" spans="1:8" x14ac:dyDescent="0.3">
      <c r="A66">
        <v>944.78399999999999</v>
      </c>
      <c r="B66">
        <f t="shared" si="0"/>
        <v>15.7464</v>
      </c>
      <c r="C66">
        <v>39.75</v>
      </c>
      <c r="D66">
        <f t="shared" si="3"/>
        <v>43.261200000000002</v>
      </c>
      <c r="E66">
        <v>2287.27</v>
      </c>
      <c r="F66">
        <v>19.41</v>
      </c>
      <c r="G66">
        <f t="shared" si="1"/>
        <v>2.1443888491779917</v>
      </c>
      <c r="H66">
        <f t="shared" si="2"/>
        <v>1.8420115560882762</v>
      </c>
    </row>
    <row r="67" spans="1:8" x14ac:dyDescent="0.3">
      <c r="A67">
        <v>958.78200000000004</v>
      </c>
      <c r="B67">
        <f t="shared" ref="B67:B80" si="4">A67/60</f>
        <v>15.979700000000001</v>
      </c>
      <c r="C67">
        <v>40</v>
      </c>
      <c r="D67">
        <f t="shared" si="3"/>
        <v>43.727800000000002</v>
      </c>
      <c r="E67">
        <v>2287.2600000000002</v>
      </c>
      <c r="F67">
        <v>19.440000000000001</v>
      </c>
      <c r="G67">
        <f t="shared" si="1"/>
        <v>1.0715816545220671</v>
      </c>
      <c r="H67">
        <f t="shared" si="2"/>
        <v>1.7215953787550762</v>
      </c>
    </row>
    <row r="68" spans="1:8" x14ac:dyDescent="0.3">
      <c r="A68">
        <v>972.71299999999997</v>
      </c>
      <c r="B68">
        <f t="shared" si="4"/>
        <v>16.211883333333333</v>
      </c>
      <c r="C68">
        <v>40.15</v>
      </c>
      <c r="D68">
        <f t="shared" si="3"/>
        <v>44.192166666666665</v>
      </c>
      <c r="E68">
        <v>2287.25</v>
      </c>
      <c r="F68">
        <v>19.41</v>
      </c>
      <c r="G68">
        <f t="shared" ref="G68:G80" si="5">(C68-C67)/(B68-B67)</f>
        <v>0.64604120307228341</v>
      </c>
      <c r="H68">
        <f t="shared" si="2"/>
        <v>1.6497924090722693</v>
      </c>
    </row>
    <row r="69" spans="1:8" x14ac:dyDescent="0.3">
      <c r="A69">
        <v>986.63499999999999</v>
      </c>
      <c r="B69">
        <f t="shared" si="4"/>
        <v>16.443916666666667</v>
      </c>
      <c r="C69">
        <v>40.450000000000003</v>
      </c>
      <c r="D69">
        <f t="shared" si="3"/>
        <v>44.656233333333333</v>
      </c>
      <c r="E69">
        <v>2287.25</v>
      </c>
      <c r="F69">
        <v>19.39</v>
      </c>
      <c r="G69">
        <f t="shared" si="5"/>
        <v>1.2929176842407859</v>
      </c>
      <c r="H69">
        <f t="shared" si="2"/>
        <v>1.5540551196229466</v>
      </c>
    </row>
    <row r="70" spans="1:8" x14ac:dyDescent="0.3">
      <c r="A70">
        <v>1000.5650000000001</v>
      </c>
      <c r="B70">
        <f t="shared" si="4"/>
        <v>16.676083333333334</v>
      </c>
      <c r="C70">
        <v>40.950000000000003</v>
      </c>
      <c r="D70">
        <v>45</v>
      </c>
      <c r="E70">
        <v>2287.2600000000002</v>
      </c>
      <c r="F70">
        <v>19.43</v>
      </c>
      <c r="G70">
        <f t="shared" si="5"/>
        <v>2.1536252692031468</v>
      </c>
      <c r="H70">
        <f t="shared" si="2"/>
        <v>1.6019546776331659</v>
      </c>
    </row>
    <row r="71" spans="1:8" x14ac:dyDescent="0.3">
      <c r="A71">
        <v>1014.487</v>
      </c>
      <c r="B71">
        <f t="shared" si="4"/>
        <v>16.908116666666665</v>
      </c>
      <c r="C71">
        <v>41.15</v>
      </c>
      <c r="D71">
        <v>45</v>
      </c>
      <c r="E71">
        <v>2287.25</v>
      </c>
      <c r="F71">
        <v>19.420000000000002</v>
      </c>
      <c r="G71">
        <f t="shared" si="5"/>
        <v>0.86194512282717328</v>
      </c>
      <c r="H71">
        <f t="shared" si="2"/>
        <v>1.5301620252124051</v>
      </c>
    </row>
    <row r="72" spans="1:8" x14ac:dyDescent="0.3">
      <c r="A72">
        <v>1028.412</v>
      </c>
      <c r="B72">
        <f t="shared" si="4"/>
        <v>17.1402</v>
      </c>
      <c r="C72">
        <v>41.4</v>
      </c>
      <c r="D72">
        <v>45</v>
      </c>
      <c r="E72">
        <v>2287.25</v>
      </c>
      <c r="F72">
        <v>19.420000000000002</v>
      </c>
      <c r="G72">
        <f t="shared" si="5"/>
        <v>1.0771992818671356</v>
      </c>
      <c r="H72">
        <f t="shared" si="2"/>
        <v>1.506090052250102</v>
      </c>
    </row>
    <row r="73" spans="1:8" x14ac:dyDescent="0.3">
      <c r="A73">
        <v>1042.327</v>
      </c>
      <c r="B73">
        <f t="shared" si="4"/>
        <v>17.372116666666667</v>
      </c>
      <c r="C73">
        <v>41.5</v>
      </c>
      <c r="D73">
        <v>45</v>
      </c>
      <c r="E73">
        <v>2287.25</v>
      </c>
      <c r="F73">
        <v>19.440000000000001</v>
      </c>
      <c r="G73">
        <f t="shared" si="5"/>
        <v>0.43118936399569402</v>
      </c>
      <c r="H73">
        <f t="shared" si="2"/>
        <v>1.3386529138921941</v>
      </c>
    </row>
    <row r="74" spans="1:8" x14ac:dyDescent="0.3">
      <c r="A74">
        <v>1056.259</v>
      </c>
      <c r="B74">
        <f t="shared" si="4"/>
        <v>17.604316666666666</v>
      </c>
      <c r="C74">
        <v>41.55</v>
      </c>
      <c r="D74">
        <v>45</v>
      </c>
      <c r="E74">
        <v>2287.25</v>
      </c>
      <c r="F74">
        <v>19.440000000000001</v>
      </c>
      <c r="G74">
        <f t="shared" si="5"/>
        <v>0.21533161068043671</v>
      </c>
      <c r="H74">
        <f t="shared" si="2"/>
        <v>1.0993577821763016</v>
      </c>
    </row>
    <row r="75" spans="1:8" x14ac:dyDescent="0.3">
      <c r="A75">
        <v>1070.1869999999999</v>
      </c>
      <c r="B75">
        <f t="shared" si="4"/>
        <v>17.836449999999999</v>
      </c>
      <c r="C75">
        <v>41.7</v>
      </c>
      <c r="D75">
        <v>45</v>
      </c>
      <c r="E75">
        <v>2287.2600000000002</v>
      </c>
      <c r="F75">
        <v>19.420000000000002</v>
      </c>
      <c r="G75">
        <f t="shared" si="5"/>
        <v>0.64618035611719804</v>
      </c>
      <c r="H75">
        <f t="shared" si="2"/>
        <v>0.93289017183621348</v>
      </c>
    </row>
    <row r="76" spans="1:8" x14ac:dyDescent="0.3">
      <c r="A76">
        <v>1096.261</v>
      </c>
      <c r="B76">
        <f t="shared" si="4"/>
        <v>18.271016666666664</v>
      </c>
      <c r="C76">
        <v>42.05</v>
      </c>
      <c r="D76">
        <v>45</v>
      </c>
      <c r="E76">
        <v>2287.25</v>
      </c>
      <c r="F76">
        <v>19.420000000000002</v>
      </c>
      <c r="G76">
        <f t="shared" si="5"/>
        <v>0.8054000153409423</v>
      </c>
      <c r="H76">
        <f t="shared" ref="H76:H80" si="6">AVERAGE(G68:G76)</f>
        <v>0.9033144341494217</v>
      </c>
    </row>
    <row r="77" spans="1:8" x14ac:dyDescent="0.3">
      <c r="A77">
        <v>1107.1479999999999</v>
      </c>
      <c r="B77">
        <f t="shared" si="4"/>
        <v>18.452466666666666</v>
      </c>
      <c r="C77">
        <v>42.25</v>
      </c>
      <c r="D77">
        <v>45</v>
      </c>
      <c r="E77">
        <v>2287.2600000000002</v>
      </c>
      <c r="F77">
        <v>19.41</v>
      </c>
      <c r="G77">
        <f t="shared" si="5"/>
        <v>1.1022320198401818</v>
      </c>
      <c r="H77">
        <f t="shared" si="6"/>
        <v>0.95400230267918829</v>
      </c>
    </row>
    <row r="78" spans="1:8" x14ac:dyDescent="0.3">
      <c r="A78">
        <v>1118.0730000000001</v>
      </c>
      <c r="B78">
        <f t="shared" si="4"/>
        <v>18.634550000000001</v>
      </c>
      <c r="C78">
        <v>42.3</v>
      </c>
      <c r="D78">
        <v>45</v>
      </c>
      <c r="E78">
        <v>2287.2600000000002</v>
      </c>
      <c r="F78">
        <v>19.420000000000002</v>
      </c>
      <c r="G78">
        <f t="shared" si="5"/>
        <v>0.27459954233407841</v>
      </c>
      <c r="H78">
        <f t="shared" si="6"/>
        <v>0.84085584246733192</v>
      </c>
    </row>
    <row r="79" spans="1:8" x14ac:dyDescent="0.3">
      <c r="A79">
        <v>1129.0150000000001</v>
      </c>
      <c r="B79">
        <f t="shared" si="4"/>
        <v>18.816916666666668</v>
      </c>
      <c r="C79">
        <v>42.55</v>
      </c>
      <c r="D79">
        <v>45</v>
      </c>
      <c r="E79">
        <v>2287.25</v>
      </c>
      <c r="F79">
        <v>19.420000000000002</v>
      </c>
      <c r="G79">
        <f t="shared" si="5"/>
        <v>1.3708645585816113</v>
      </c>
      <c r="H79">
        <f t="shared" si="6"/>
        <v>0.75388243017605017</v>
      </c>
    </row>
    <row r="80" spans="1:8" x14ac:dyDescent="0.3">
      <c r="A80">
        <v>1139.9359999999999</v>
      </c>
      <c r="B80">
        <f t="shared" si="4"/>
        <v>18.998933333333333</v>
      </c>
      <c r="C80">
        <v>42.6</v>
      </c>
      <c r="D80">
        <v>45</v>
      </c>
      <c r="E80">
        <v>2287.2800000000002</v>
      </c>
      <c r="F80">
        <v>19.440000000000001</v>
      </c>
      <c r="G80">
        <f t="shared" si="5"/>
        <v>0.27470011903674296</v>
      </c>
      <c r="H80">
        <f t="shared" si="6"/>
        <v>0.68863298531044692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CV166</dc:creator>
  <cp:lastModifiedBy>CV166</cp:lastModifiedBy>
  <dcterms:modified xsi:type="dcterms:W3CDTF">2025-10-20T21:33:23Z</dcterms:modified>
</cp:coreProperties>
</file>